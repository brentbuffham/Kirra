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ef6c6bd102a4b4a2/Documents/"/>
    </mc:Choice>
  </mc:AlternateContent>
  <xr:revisionPtr revIDLastSave="103" documentId="8_{2A885566-97B7-4B35-B35D-2B515EB15CBF}" xr6:coauthVersionLast="47" xr6:coauthVersionMax="47" xr10:uidLastSave="{8CE79515-3022-41F6-9644-21EDBAB849BD}"/>
  <bookViews>
    <workbookView xWindow="-11748" yWindow="17172" windowWidth="23256" windowHeight="12576" xr2:uid="{00000000-000D-0000-FFFF-FFFF00000000}"/>
  </bookViews>
  <sheets>
    <sheet name="Product Density" sheetId="1" r:id="rId1"/>
  </sheets>
  <definedNames>
    <definedName name="ATM">'Product Density'!$B$7</definedName>
    <definedName name="ATM_PAS">'Product Density'!$A$9</definedName>
    <definedName name="ATMS_PA">'Product Density'!$B$9</definedName>
    <definedName name="C_DENS">'Product Density'!$B$4</definedName>
    <definedName name="CRIT_DENS">'Product Density'!$B$11</definedName>
    <definedName name="DIAM">'Product Density'!$B$8</definedName>
    <definedName name="INT_SPACE">'Product Density'!$B$6</definedName>
    <definedName name="L_DESN">'Product Density'!$B$3</definedName>
    <definedName name="MAN_ADJ">'Product Density'!$B$5</definedName>
    <definedName name="PAS_ATM">'Product Density'!$B$10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B17" i="1" s="1"/>
  <c r="B18" i="1" s="1"/>
  <c r="B19" i="1" s="1"/>
  <c r="B20" i="1" s="1"/>
  <c r="B21" i="1" s="1"/>
  <c r="B22" i="1" s="1"/>
  <c r="B23" i="1" s="1"/>
  <c r="B10" i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D54" i="1" s="1"/>
  <c r="D23" i="1"/>
  <c r="D22" i="1"/>
  <c r="C22" i="1" s="1"/>
  <c r="D21" i="1"/>
  <c r="D20" i="1"/>
  <c r="D14" i="1"/>
  <c r="C14" i="1" s="1"/>
  <c r="D19" i="1"/>
  <c r="D17" i="1"/>
  <c r="D16" i="1"/>
  <c r="D18" i="1"/>
  <c r="D15" i="1"/>
  <c r="C15" i="1" s="1"/>
  <c r="D34" i="1"/>
  <c r="C17" i="1" l="1"/>
  <c r="H17" i="1" s="1"/>
  <c r="C19" i="1"/>
  <c r="H19" i="1" s="1"/>
  <c r="C54" i="1"/>
  <c r="H54" i="1" s="1"/>
  <c r="C20" i="1"/>
  <c r="H20" i="1" s="1"/>
  <c r="C16" i="1"/>
  <c r="H16" i="1" s="1"/>
  <c r="C21" i="1"/>
  <c r="H21" i="1" s="1"/>
  <c r="C34" i="1"/>
  <c r="H34" i="1" s="1"/>
  <c r="C18" i="1"/>
  <c r="E18" i="1" s="1"/>
  <c r="F18" i="1" s="1"/>
  <c r="C23" i="1"/>
  <c r="H23" i="1" s="1"/>
  <c r="D45" i="1"/>
  <c r="H22" i="1"/>
  <c r="D25" i="1"/>
  <c r="D46" i="1"/>
  <c r="D49" i="1"/>
  <c r="D26" i="1"/>
  <c r="D53" i="1"/>
  <c r="D37" i="1"/>
  <c r="D47" i="1"/>
  <c r="D35" i="1"/>
  <c r="D44" i="1"/>
  <c r="D36" i="1"/>
  <c r="D42" i="1"/>
  <c r="D32" i="1"/>
  <c r="D48" i="1"/>
  <c r="D33" i="1"/>
  <c r="D50" i="1"/>
  <c r="D43" i="1"/>
  <c r="D27" i="1"/>
  <c r="D40" i="1"/>
  <c r="D38" i="1"/>
  <c r="D31" i="1"/>
  <c r="D28" i="1"/>
  <c r="D39" i="1"/>
  <c r="D52" i="1"/>
  <c r="D24" i="1"/>
  <c r="D51" i="1"/>
  <c r="D29" i="1"/>
  <c r="D41" i="1"/>
  <c r="D30" i="1"/>
  <c r="H15" i="1"/>
  <c r="E14" i="1"/>
  <c r="F14" i="1" s="1"/>
  <c r="H14" i="1"/>
  <c r="E17" i="1"/>
  <c r="F17" i="1" s="1"/>
  <c r="E16" i="1"/>
  <c r="F16" i="1" s="1"/>
  <c r="E15" i="1"/>
  <c r="F15" i="1" s="1"/>
  <c r="C32" i="1" l="1"/>
  <c r="H32" i="1" s="1"/>
  <c r="C31" i="1"/>
  <c r="H31" i="1" s="1"/>
  <c r="C27" i="1"/>
  <c r="H27" i="1" s="1"/>
  <c r="H18" i="1"/>
  <c r="C35" i="1"/>
  <c r="H35" i="1" s="1"/>
  <c r="C43" i="1"/>
  <c r="H43" i="1" s="1"/>
  <c r="C50" i="1"/>
  <c r="H50" i="1" s="1"/>
  <c r="C51" i="1"/>
  <c r="H51" i="1" s="1"/>
  <c r="C38" i="1"/>
  <c r="H38" i="1" s="1"/>
  <c r="E19" i="1"/>
  <c r="F19" i="1" s="1"/>
  <c r="G18" i="1" s="1"/>
  <c r="E20" i="1"/>
  <c r="F20" i="1" s="1"/>
  <c r="G19" i="1" s="1"/>
  <c r="H42" i="1"/>
  <c r="C42" i="1"/>
  <c r="C44" i="1"/>
  <c r="H44" i="1" s="1"/>
  <c r="C29" i="1"/>
  <c r="H29" i="1" s="1"/>
  <c r="C45" i="1"/>
  <c r="H45" i="1" s="1"/>
  <c r="E21" i="1"/>
  <c r="F21" i="1" s="1"/>
  <c r="G20" i="1" s="1"/>
  <c r="C33" i="1"/>
  <c r="H33" i="1" s="1"/>
  <c r="C48" i="1"/>
  <c r="H48" i="1" s="1"/>
  <c r="C30" i="1"/>
  <c r="H30" i="1" s="1"/>
  <c r="C47" i="1"/>
  <c r="H47" i="1" s="1"/>
  <c r="C40" i="1"/>
  <c r="H40" i="1" s="1"/>
  <c r="C36" i="1"/>
  <c r="H36" i="1" s="1"/>
  <c r="H41" i="1"/>
  <c r="C41" i="1"/>
  <c r="C37" i="1"/>
  <c r="H37" i="1" s="1"/>
  <c r="C53" i="1"/>
  <c r="H53" i="1" s="1"/>
  <c r="C24" i="1"/>
  <c r="E33" i="1" s="1"/>
  <c r="F33" i="1" s="1"/>
  <c r="C26" i="1"/>
  <c r="E35" i="1" s="1"/>
  <c r="F35" i="1" s="1"/>
  <c r="C52" i="1"/>
  <c r="H52" i="1" s="1"/>
  <c r="C49" i="1"/>
  <c r="H49" i="1" s="1"/>
  <c r="C39" i="1"/>
  <c r="H39" i="1" s="1"/>
  <c r="C46" i="1"/>
  <c r="H46" i="1" s="1"/>
  <c r="C28" i="1"/>
  <c r="E50" i="1" s="1"/>
  <c r="F50" i="1" s="1"/>
  <c r="H25" i="1"/>
  <c r="C25" i="1"/>
  <c r="G17" i="1"/>
  <c r="G16" i="1"/>
  <c r="G14" i="1"/>
  <c r="G15" i="1"/>
  <c r="E23" i="1"/>
  <c r="F23" i="1" s="1"/>
  <c r="E22" i="1"/>
  <c r="F22" i="1" s="1"/>
  <c r="G21" i="1" s="1"/>
  <c r="E24" i="1"/>
  <c r="F24" i="1" s="1"/>
  <c r="E27" i="1"/>
  <c r="F27" i="1" s="1"/>
  <c r="E25" i="1"/>
  <c r="F25" i="1" s="1"/>
  <c r="E26" i="1"/>
  <c r="F26" i="1" s="1"/>
  <c r="E52" i="1" l="1"/>
  <c r="F52" i="1" s="1"/>
  <c r="E45" i="1"/>
  <c r="F45" i="1" s="1"/>
  <c r="E37" i="1"/>
  <c r="F37" i="1" s="1"/>
  <c r="E43" i="1"/>
  <c r="F43" i="1" s="1"/>
  <c r="E36" i="1"/>
  <c r="F36" i="1" s="1"/>
  <c r="G35" i="1" s="1"/>
  <c r="H26" i="1"/>
  <c r="E40" i="1"/>
  <c r="F40" i="1" s="1"/>
  <c r="G39" i="1" s="1"/>
  <c r="E38" i="1"/>
  <c r="F38" i="1" s="1"/>
  <c r="G37" i="1" s="1"/>
  <c r="E30" i="1"/>
  <c r="F30" i="1" s="1"/>
  <c r="G30" i="1" s="1"/>
  <c r="H24" i="1"/>
  <c r="E49" i="1"/>
  <c r="F49" i="1" s="1"/>
  <c r="E29" i="1"/>
  <c r="F29" i="1" s="1"/>
  <c r="G29" i="1" s="1"/>
  <c r="E39" i="1"/>
  <c r="F39" i="1" s="1"/>
  <c r="G38" i="1" s="1"/>
  <c r="E34" i="1"/>
  <c r="F34" i="1" s="1"/>
  <c r="G33" i="1" s="1"/>
  <c r="H28" i="1"/>
  <c r="E47" i="1"/>
  <c r="F47" i="1" s="1"/>
  <c r="G46" i="1" s="1"/>
  <c r="E54" i="1"/>
  <c r="F54" i="1" s="1"/>
  <c r="G53" i="1" s="1"/>
  <c r="E44" i="1"/>
  <c r="F44" i="1" s="1"/>
  <c r="G43" i="1" s="1"/>
  <c r="E32" i="1"/>
  <c r="F32" i="1" s="1"/>
  <c r="G32" i="1" s="1"/>
  <c r="E48" i="1"/>
  <c r="F48" i="1" s="1"/>
  <c r="G47" i="1" s="1"/>
  <c r="E42" i="1"/>
  <c r="F42" i="1" s="1"/>
  <c r="E31" i="1"/>
  <c r="F31" i="1" s="1"/>
  <c r="E46" i="1"/>
  <c r="F46" i="1" s="1"/>
  <c r="E28" i="1"/>
  <c r="F28" i="1" s="1"/>
  <c r="E41" i="1"/>
  <c r="F41" i="1" s="1"/>
  <c r="E53" i="1"/>
  <c r="F53" i="1" s="1"/>
  <c r="E51" i="1"/>
  <c r="F51" i="1" s="1"/>
  <c r="G51" i="1" s="1"/>
  <c r="G36" i="1"/>
  <c r="G23" i="1"/>
  <c r="G40" i="1"/>
  <c r="G50" i="1"/>
  <c r="G42" i="1"/>
  <c r="G27" i="1"/>
  <c r="G49" i="1"/>
  <c r="G28" i="1"/>
  <c r="G25" i="1"/>
  <c r="G26" i="1"/>
  <c r="G52" i="1"/>
  <c r="G22" i="1"/>
  <c r="G41" i="1"/>
  <c r="G45" i="1"/>
  <c r="G24" i="1"/>
  <c r="G34" i="1"/>
  <c r="G48" i="1" l="1"/>
  <c r="G44" i="1"/>
  <c r="G31" i="1"/>
</calcChain>
</file>

<file path=xl/sharedStrings.xml><?xml version="1.0" encoding="utf-8"?>
<sst xmlns="http://schemas.openxmlformats.org/spreadsheetml/2006/main" count="27" uniqueCount="27">
  <si>
    <t>COMPRESSION OF IDEAL GASSES IN VOLUMES CALCULATOR</t>
  </si>
  <si>
    <t>LIMITING DENSITY</t>
  </si>
  <si>
    <t>COLUMN CAP DENSITY</t>
  </si>
  <si>
    <t>DENSITY</t>
  </si>
  <si>
    <t>LENGTH</t>
  </si>
  <si>
    <t>ATM (Atmospheric Pressure)</t>
  </si>
  <si>
    <t>PRESSURE</t>
  </si>
  <si>
    <t>AVERAGE DENSITY OVER LENGTH</t>
  </si>
  <si>
    <t>KILOGRAM WEIGHT OF LENGTH</t>
  </si>
  <si>
    <t>MANUAL ADJUSTMENT</t>
  </si>
  <si>
    <t>PASCALS TO ATM CONSTANT</t>
  </si>
  <si>
    <t>1 ATM to PASCALS</t>
  </si>
  <si>
    <t>Limiting density is the most the liquid can be compressed to this is generally the molar mass of the components without any gas</t>
  </si>
  <si>
    <t>Column Cap or Start of column density is the cup weight or density of the product at sea level when deliverable.</t>
  </si>
  <si>
    <t>Use this to adjust the atmospheres if the column is under additional pressures such as water.  I.E. 10m of water would be 1 additional atmosphere.</t>
  </si>
  <si>
    <t>Current pressure (assumed at sea level to be 1 ATM)</t>
  </si>
  <si>
    <t>Divide Atmospheres by this number to obtain the Pascals for required calculations</t>
  </si>
  <si>
    <t>DIAMETER (millimetres)</t>
  </si>
  <si>
    <t>Diameter of the cylinder in millimetres</t>
  </si>
  <si>
    <t>Used to convert Pascals to Atmospheres</t>
  </si>
  <si>
    <t>CRITICAL DENSITY</t>
  </si>
  <si>
    <t>Used to display values that may fail to initiate full order</t>
  </si>
  <si>
    <t>Is Critical Density at Depth</t>
  </si>
  <si>
    <t>INTERVAL SPACING</t>
  </si>
  <si>
    <t>Use this to change the interval spacing for the below density chart</t>
  </si>
  <si>
    <t>The below information only applies to compressable masses. If any errors are noted please contact brent.buffham@gmail.com so adjustments can be made.</t>
  </si>
  <si>
    <t>WEIGHT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</si>
</sst>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&quot; m&quot;"/>
    <numFmt numFmtId="166" formatCode="0.00&quot; g/cc&quot;"/>
    <numFmt numFmtId="167" formatCode="0.000&quot; atm&quot;"/>
    <numFmt numFmtId="168" formatCode="0.0&quot; kg&quot;"/>
  </numFmts>
  <fonts count="11" x14ac:knownFonts="1">
    <font>
      <sz val="11"/>
      <color theme="1"/>
      <name val="Arial"/>
      <family val="2"/>
    </font>
    <font>
      <b/>
      <i/>
      <sz val="11"/>
      <color theme="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2" tint="0.59999389629810485"/>
      <name val="Rockwell"/>
      <family val="1"/>
    </font>
    <font>
      <i/>
      <sz val="10"/>
      <color rgb="FFFF0000"/>
      <name val="Rockwell"/>
      <family val="1"/>
    </font>
    <font>
      <b/>
      <sz val="11"/>
      <color rgb="FFFF0000"/>
      <name val="Rockwell"/>
      <family val="1"/>
    </font>
    <font>
      <b/>
      <sz val="11"/>
      <color rgb="FF3F3F7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1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5" borderId="11" applyNumberFormat="0" applyAlignment="0" applyProtection="0"/>
    <xf numFmtId="0" fontId="3" fillId="6" borderId="12" applyNumberFormat="0" applyAlignment="0" applyProtection="0"/>
    <xf numFmtId="0" fontId="4" fillId="7" borderId="13" applyNumberFormat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165" fontId="0" fillId="4" borderId="9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2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2" borderId="2" xfId="0" applyNumberForma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2" fontId="9" fillId="5" borderId="2" xfId="1" applyNumberFormat="1" applyFont="1" applyBorder="1" applyAlignment="1">
      <alignment horizontal="center" vertical="center" wrapText="1"/>
    </xf>
    <xf numFmtId="2" fontId="9" fillId="5" borderId="2" xfId="1" applyNumberFormat="1" applyFont="1" applyBorder="1" applyAlignment="1">
      <alignment horizontal="center" vertical="center"/>
    </xf>
    <xf numFmtId="164" fontId="9" fillId="5" borderId="2" xfId="1" applyNumberFormat="1" applyFont="1" applyBorder="1" applyAlignment="1">
      <alignment horizontal="center" vertical="center"/>
    </xf>
    <xf numFmtId="2" fontId="4" fillId="7" borderId="2" xfId="3" applyNumberFormat="1" applyFont="1" applyBorder="1" applyAlignment="1">
      <alignment horizontal="center" vertical="center"/>
    </xf>
    <xf numFmtId="11" fontId="4" fillId="7" borderId="2" xfId="3" applyNumberFormat="1" applyFont="1" applyBorder="1" applyAlignment="1">
      <alignment horizontal="center" vertical="center"/>
    </xf>
    <xf numFmtId="2" fontId="10" fillId="5" borderId="2" xfId="4" applyNumberFormat="1" applyFont="1" applyFill="1" applyBorder="1" applyAlignment="1">
      <alignment horizontal="center" vertical="center"/>
    </xf>
    <xf numFmtId="0" fontId="3" fillId="6" borderId="12" xfId="2" applyAlignment="1">
      <alignment horizontal="right" wrapText="1"/>
    </xf>
    <xf numFmtId="0" fontId="3" fillId="6" borderId="12" xfId="2" applyAlignment="1">
      <alignment horizontal="right"/>
    </xf>
    <xf numFmtId="2" fontId="7" fillId="0" borderId="0" xfId="0" applyNumberFormat="1" applyFont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 wrapText="1"/>
    </xf>
    <xf numFmtId="0" fontId="6" fillId="8" borderId="0" xfId="0" applyFont="1" applyFill="1" applyAlignment="1">
      <alignment horizontal="center"/>
    </xf>
  </cellXfs>
  <cellStyles count="5">
    <cellStyle name="Check Cell" xfId="3" builtinId="23"/>
    <cellStyle name="Input" xfId="1" builtinId="20"/>
    <cellStyle name="Normal" xfId="0" builtinId="0"/>
    <cellStyle name="Output" xfId="2" builtinId="21"/>
    <cellStyle name="Warning Text" xfId="4" builtinId="11"/>
  </cellStyles>
  <dxfs count="1">
    <dxf>
      <font>
        <b/>
        <i/>
        <color rgb="FFFFFF00"/>
      </font>
      <fill>
        <patternFill>
          <bgColor rgb="FFFF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2016 BHPCOLOUR">
      <a:dk1>
        <a:srgbClr val="476475"/>
      </a:dk1>
      <a:lt1>
        <a:srgbClr val="FFFFFF"/>
      </a:lt1>
      <a:dk2>
        <a:srgbClr val="018982"/>
      </a:dk2>
      <a:lt2>
        <a:srgbClr val="0C637C"/>
      </a:lt2>
      <a:accent1>
        <a:srgbClr val="E65400"/>
      </a:accent1>
      <a:accent2>
        <a:srgbClr val="476475"/>
      </a:accent2>
      <a:accent3>
        <a:srgbClr val="FAB636"/>
      </a:accent3>
      <a:accent4>
        <a:srgbClr val="90B1C0"/>
      </a:accent4>
      <a:accent5>
        <a:srgbClr val="D6E0E6"/>
      </a:accent5>
      <a:accent6>
        <a:srgbClr val="B3DE68"/>
      </a:accent6>
      <a:hlink>
        <a:srgbClr val="234483"/>
      </a:hlink>
      <a:folHlink>
        <a:srgbClr val="F67B2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9" zoomScale="150" zoomScaleNormal="150" workbookViewId="0">
      <selection activeCell="C7" sqref="C7:H7"/>
    </sheetView>
  </sheetViews>
  <sheetFormatPr defaultRowHeight="13.8" x14ac:dyDescent="0.25"/>
  <cols>
    <col min="1" max="1" width="28" customWidth="1"/>
    <col min="2" max="3" width="12.59765625" style="2" customWidth="1"/>
    <col min="4" max="4" width="12.59765625" style="3" customWidth="1"/>
    <col min="5" max="5" width="12.59765625" style="2" customWidth="1"/>
    <col min="6" max="6" width="12.59765625" style="4" customWidth="1"/>
    <col min="7" max="7" width="13.69921875" style="4" customWidth="1"/>
    <col min="8" max="8" width="9.69921875" customWidth="1"/>
    <col min="9" max="10" width="22.796875" customWidth="1"/>
  </cols>
  <sheetData>
    <row r="1" spans="1:8" ht="20.399999999999999" x14ac:dyDescent="0.35">
      <c r="A1" s="34" t="s">
        <v>0</v>
      </c>
      <c r="B1" s="34"/>
      <c r="C1" s="34"/>
      <c r="D1" s="34"/>
      <c r="E1" s="34"/>
      <c r="F1" s="34"/>
      <c r="G1" s="34"/>
      <c r="H1" s="34"/>
    </row>
    <row r="3" spans="1:8" ht="28.5" customHeight="1" x14ac:dyDescent="0.3">
      <c r="A3" s="30" t="s">
        <v>1</v>
      </c>
      <c r="B3" s="24">
        <v>1.34</v>
      </c>
      <c r="C3" s="32" t="s">
        <v>12</v>
      </c>
      <c r="D3" s="32"/>
      <c r="E3" s="32"/>
      <c r="F3" s="32"/>
      <c r="G3" s="32"/>
      <c r="H3" s="32"/>
    </row>
    <row r="4" spans="1:8" ht="28.5" customHeight="1" x14ac:dyDescent="0.3">
      <c r="A4" s="31" t="s">
        <v>2</v>
      </c>
      <c r="B4" s="25">
        <v>1.1499999999999999</v>
      </c>
      <c r="C4" s="32" t="s">
        <v>13</v>
      </c>
      <c r="D4" s="32"/>
      <c r="E4" s="32"/>
      <c r="F4" s="32"/>
      <c r="G4" s="32"/>
      <c r="H4" s="32"/>
    </row>
    <row r="5" spans="1:8" ht="28.5" customHeight="1" x14ac:dyDescent="0.3">
      <c r="A5" s="31" t="s">
        <v>9</v>
      </c>
      <c r="B5" s="26">
        <v>0</v>
      </c>
      <c r="C5" s="32" t="s">
        <v>14</v>
      </c>
      <c r="D5" s="32"/>
      <c r="E5" s="32"/>
      <c r="F5" s="32"/>
      <c r="G5" s="32"/>
      <c r="H5" s="32"/>
    </row>
    <row r="6" spans="1:8" ht="28.5" customHeight="1" x14ac:dyDescent="0.3">
      <c r="A6" s="31" t="s">
        <v>23</v>
      </c>
      <c r="B6" s="26">
        <v>1</v>
      </c>
      <c r="C6" s="32" t="s">
        <v>24</v>
      </c>
      <c r="D6" s="32"/>
      <c r="E6" s="32"/>
      <c r="F6" s="32"/>
      <c r="G6" s="32"/>
      <c r="H6" s="32"/>
    </row>
    <row r="7" spans="1:8" ht="28.5" customHeight="1" x14ac:dyDescent="0.3">
      <c r="A7" s="31" t="s">
        <v>5</v>
      </c>
      <c r="B7" s="25">
        <v>1</v>
      </c>
      <c r="C7" s="32" t="s">
        <v>15</v>
      </c>
      <c r="D7" s="32"/>
      <c r="E7" s="32"/>
      <c r="F7" s="32"/>
      <c r="G7" s="32"/>
      <c r="H7" s="32"/>
    </row>
    <row r="8" spans="1:8" ht="28.5" customHeight="1" x14ac:dyDescent="0.3">
      <c r="A8" s="31" t="s">
        <v>17</v>
      </c>
      <c r="B8" s="25">
        <v>114</v>
      </c>
      <c r="C8" s="32" t="s">
        <v>18</v>
      </c>
      <c r="D8" s="32"/>
      <c r="E8" s="32"/>
      <c r="F8" s="32"/>
      <c r="G8" s="32"/>
      <c r="H8" s="32"/>
    </row>
    <row r="9" spans="1:8" ht="28.5" customHeight="1" x14ac:dyDescent="0.3">
      <c r="A9" s="31" t="s">
        <v>11</v>
      </c>
      <c r="B9" s="27">
        <v>101325</v>
      </c>
      <c r="C9" s="32" t="s">
        <v>16</v>
      </c>
      <c r="D9" s="32"/>
      <c r="E9" s="32"/>
      <c r="F9" s="32"/>
      <c r="G9" s="32"/>
      <c r="H9" s="32"/>
    </row>
    <row r="10" spans="1:8" ht="28.5" customHeight="1" x14ac:dyDescent="0.3">
      <c r="A10" s="31" t="s">
        <v>10</v>
      </c>
      <c r="B10" s="28">
        <f>1/101325</f>
        <v>9.8692326671601285E-6</v>
      </c>
      <c r="C10" s="32" t="s">
        <v>19</v>
      </c>
      <c r="D10" s="32"/>
      <c r="E10" s="32"/>
      <c r="F10" s="32"/>
      <c r="G10" s="32"/>
      <c r="H10" s="32"/>
    </row>
    <row r="11" spans="1:8" ht="28.5" customHeight="1" x14ac:dyDescent="0.3">
      <c r="A11" s="31" t="s">
        <v>20</v>
      </c>
      <c r="B11" s="29">
        <v>1.29</v>
      </c>
      <c r="C11" s="32" t="s">
        <v>21</v>
      </c>
      <c r="D11" s="32"/>
      <c r="E11" s="32"/>
      <c r="F11" s="32"/>
      <c r="G11" s="32"/>
      <c r="H11" s="32"/>
    </row>
    <row r="12" spans="1:8" ht="28.5" customHeight="1" thickBot="1" x14ac:dyDescent="0.3">
      <c r="A12" s="33" t="s">
        <v>25</v>
      </c>
      <c r="B12" s="33"/>
      <c r="C12" s="33"/>
      <c r="D12" s="33"/>
      <c r="E12" s="33"/>
      <c r="F12" s="33"/>
      <c r="G12" s="33"/>
      <c r="H12" s="33"/>
    </row>
    <row r="13" spans="1:8" s="1" customFormat="1" ht="66.75" customHeight="1" thickBot="1" x14ac:dyDescent="0.3">
      <c r="B13" s="5" t="s">
        <v>4</v>
      </c>
      <c r="C13" s="9" t="s">
        <v>3</v>
      </c>
      <c r="D13" s="7" t="s">
        <v>6</v>
      </c>
      <c r="E13" s="6" t="s">
        <v>7</v>
      </c>
      <c r="F13" s="8" t="s">
        <v>8</v>
      </c>
      <c r="G13" s="8" t="s">
        <v>26</v>
      </c>
      <c r="H13" s="8" t="s">
        <v>22</v>
      </c>
    </row>
    <row r="14" spans="1:8" x14ac:dyDescent="0.25">
      <c r="B14" s="10">
        <v>0</v>
      </c>
      <c r="C14" s="13">
        <f t="shared" ref="C14:C54" si="0">ROUND(1/(1/L_DESN+(1/C_DENS-1/L_DESN)/D14),2)</f>
        <v>1.1499999999999999</v>
      </c>
      <c r="D14" s="18">
        <f t="shared" ref="D14:D54" si="1">MAN_ADJ+((C_DENS*9.80665)*(B14*1000)+ATMS_PA)*PAS_ATM</f>
        <v>1</v>
      </c>
      <c r="E14" s="15">
        <f>C14</f>
        <v>1.1499999999999999</v>
      </c>
      <c r="F14" s="21">
        <f>PI()*($B$8/2/1000)^2*B14*E14*1000</f>
        <v>0</v>
      </c>
      <c r="G14" s="21">
        <f>F15-F14</f>
        <v>11.840160056555355</v>
      </c>
      <c r="H14" s="21" t="str">
        <f t="shared" ref="H14:H54" si="2">IF(C14&lt;CRIT_DENS,"NO","YES")</f>
        <v>NO</v>
      </c>
    </row>
    <row r="15" spans="1:8" x14ac:dyDescent="0.25">
      <c r="B15" s="11">
        <f>B14+$B$6</f>
        <v>1</v>
      </c>
      <c r="C15" s="14">
        <f t="shared" si="0"/>
        <v>1.17</v>
      </c>
      <c r="D15" s="19">
        <f t="shared" si="1"/>
        <v>1.1113017271157166</v>
      </c>
      <c r="E15" s="16">
        <f>AVERAGE($C$14:C15)</f>
        <v>1.1599999999999999</v>
      </c>
      <c r="F15" s="22">
        <f>PI()*($B$8/2/1000)^2*B15*E15*1000</f>
        <v>11.840160056555355</v>
      </c>
      <c r="G15" s="22">
        <f t="shared" ref="G15:G53" si="3">F16-F15</f>
        <v>11.976253850308868</v>
      </c>
      <c r="H15" s="22" t="str">
        <f t="shared" si="2"/>
        <v>NO</v>
      </c>
    </row>
    <row r="16" spans="1:8" x14ac:dyDescent="0.25">
      <c r="B16" s="12">
        <f>B15+$B$6</f>
        <v>2</v>
      </c>
      <c r="C16" s="13">
        <f t="shared" si="0"/>
        <v>1.18</v>
      </c>
      <c r="D16" s="20">
        <f t="shared" si="1"/>
        <v>1.2226034542314335</v>
      </c>
      <c r="E16" s="17">
        <f>AVERAGE($C$14:C16)</f>
        <v>1.1666666666666667</v>
      </c>
      <c r="F16" s="23">
        <f t="shared" ref="F16:F54" si="4">PI()*($B$8/2/1000)^2*B16*E16*1000</f>
        <v>23.816413906864224</v>
      </c>
      <c r="G16" s="21">
        <f t="shared" si="3"/>
        <v>12.086830057733589</v>
      </c>
      <c r="H16" s="23" t="str">
        <f t="shared" si="2"/>
        <v>NO</v>
      </c>
    </row>
    <row r="17" spans="2:8" x14ac:dyDescent="0.25">
      <c r="B17" s="11">
        <f t="shared" ref="B17:B54" si="5">B16+$B$6</f>
        <v>3</v>
      </c>
      <c r="C17" s="14">
        <f t="shared" si="0"/>
        <v>1.19</v>
      </c>
      <c r="D17" s="19">
        <f t="shared" si="1"/>
        <v>1.3339051813471503</v>
      </c>
      <c r="E17" s="16">
        <f>AVERAGE($C$14:C17)</f>
        <v>1.1724999999999999</v>
      </c>
      <c r="F17" s="22">
        <f t="shared" si="4"/>
        <v>35.903243964597813</v>
      </c>
      <c r="G17" s="22">
        <f t="shared" si="3"/>
        <v>12.192302747892562</v>
      </c>
      <c r="H17" s="22" t="str">
        <f t="shared" si="2"/>
        <v>NO</v>
      </c>
    </row>
    <row r="18" spans="2:8" x14ac:dyDescent="0.25">
      <c r="B18" s="12">
        <f t="shared" si="5"/>
        <v>4</v>
      </c>
      <c r="C18" s="13">
        <f t="shared" si="0"/>
        <v>1.2</v>
      </c>
      <c r="D18" s="20">
        <f t="shared" si="1"/>
        <v>1.4452069084628669</v>
      </c>
      <c r="E18" s="17">
        <f>AVERAGE($C$14:C18)</f>
        <v>1.1779999999999999</v>
      </c>
      <c r="F18" s="23">
        <f t="shared" si="4"/>
        <v>48.095546712490375</v>
      </c>
      <c r="G18" s="21">
        <f t="shared" si="3"/>
        <v>12.29607426562962</v>
      </c>
      <c r="H18" s="23" t="str">
        <f t="shared" si="2"/>
        <v>NO</v>
      </c>
    </row>
    <row r="19" spans="2:8" x14ac:dyDescent="0.25">
      <c r="B19" s="11">
        <f t="shared" si="5"/>
        <v>5</v>
      </c>
      <c r="C19" s="14">
        <f t="shared" si="0"/>
        <v>1.21</v>
      </c>
      <c r="D19" s="19">
        <f t="shared" si="1"/>
        <v>1.5565086355785838</v>
      </c>
      <c r="E19" s="16">
        <f>AVERAGE($C$14:C19)</f>
        <v>1.1833333333333333</v>
      </c>
      <c r="F19" s="22">
        <f t="shared" si="4"/>
        <v>60.391620978119995</v>
      </c>
      <c r="G19" s="22">
        <f t="shared" si="3"/>
        <v>12.399116709471549</v>
      </c>
      <c r="H19" s="22" t="str">
        <f t="shared" si="2"/>
        <v>NO</v>
      </c>
    </row>
    <row r="20" spans="2:8" x14ac:dyDescent="0.25">
      <c r="B20" s="12">
        <f t="shared" si="5"/>
        <v>6</v>
      </c>
      <c r="C20" s="13">
        <f t="shared" si="0"/>
        <v>1.22</v>
      </c>
      <c r="D20" s="20">
        <f t="shared" si="1"/>
        <v>1.6678103626943006</v>
      </c>
      <c r="E20" s="17">
        <f>AVERAGE($C$14:C20)</f>
        <v>1.1885714285714286</v>
      </c>
      <c r="F20" s="23">
        <f t="shared" si="4"/>
        <v>72.790737687591545</v>
      </c>
      <c r="G20" s="21">
        <f t="shared" si="3"/>
        <v>12.501794616365956</v>
      </c>
      <c r="H20" s="23" t="str">
        <f t="shared" si="2"/>
        <v>NO</v>
      </c>
    </row>
    <row r="21" spans="2:8" x14ac:dyDescent="0.25">
      <c r="B21" s="11">
        <f t="shared" si="5"/>
        <v>7</v>
      </c>
      <c r="C21" s="14">
        <f t="shared" si="0"/>
        <v>1.23</v>
      </c>
      <c r="D21" s="19">
        <f t="shared" si="1"/>
        <v>1.779112089810017</v>
      </c>
      <c r="E21" s="16">
        <f>AVERAGE($C$14:C21)</f>
        <v>1.1937500000000001</v>
      </c>
      <c r="F21" s="22">
        <f t="shared" si="4"/>
        <v>85.292532303957501</v>
      </c>
      <c r="G21" s="22">
        <f t="shared" si="3"/>
        <v>12.513540806898249</v>
      </c>
      <c r="H21" s="22" t="str">
        <f t="shared" si="2"/>
        <v>NO</v>
      </c>
    </row>
    <row r="22" spans="2:8" x14ac:dyDescent="0.25">
      <c r="B22" s="12">
        <f t="shared" si="5"/>
        <v>8</v>
      </c>
      <c r="C22" s="13">
        <f t="shared" si="0"/>
        <v>1.23</v>
      </c>
      <c r="D22" s="20">
        <f t="shared" si="1"/>
        <v>1.8904138169257341</v>
      </c>
      <c r="E22" s="17">
        <f>AVERAGE($C$14:C22)</f>
        <v>1.1977777777777778</v>
      </c>
      <c r="F22" s="23">
        <f t="shared" si="4"/>
        <v>97.806073110855749</v>
      </c>
      <c r="G22" s="21">
        <f t="shared" si="3"/>
        <v>12.613626451054472</v>
      </c>
      <c r="H22" s="23" t="str">
        <f t="shared" si="2"/>
        <v>NO</v>
      </c>
    </row>
    <row r="23" spans="2:8" x14ac:dyDescent="0.25">
      <c r="B23" s="11">
        <f t="shared" si="5"/>
        <v>9</v>
      </c>
      <c r="C23" s="14">
        <f t="shared" si="0"/>
        <v>1.24</v>
      </c>
      <c r="D23" s="19">
        <f t="shared" si="1"/>
        <v>2.0017155440414505</v>
      </c>
      <c r="E23" s="16">
        <f>AVERAGE($C$14:C23)</f>
        <v>1.2020000000000002</v>
      </c>
      <c r="F23" s="22">
        <f t="shared" si="4"/>
        <v>110.41969956191022</v>
      </c>
      <c r="G23" s="22">
        <f t="shared" si="3"/>
        <v>12.621462154331184</v>
      </c>
      <c r="H23" s="22" t="str">
        <f t="shared" si="2"/>
        <v>NO</v>
      </c>
    </row>
    <row r="24" spans="2:8" x14ac:dyDescent="0.25">
      <c r="B24" s="12">
        <f t="shared" si="5"/>
        <v>10</v>
      </c>
      <c r="C24" s="13">
        <f t="shared" si="0"/>
        <v>1.24</v>
      </c>
      <c r="D24" s="20">
        <f t="shared" si="1"/>
        <v>2.1130172711571675</v>
      </c>
      <c r="E24" s="17">
        <f>AVERAGE($C$14:C24)</f>
        <v>1.2054545454545456</v>
      </c>
      <c r="F24" s="23">
        <f t="shared" si="4"/>
        <v>123.0411617162414</v>
      </c>
      <c r="G24" s="21">
        <f t="shared" si="3"/>
        <v>12.720903414994282</v>
      </c>
      <c r="H24" s="23" t="str">
        <f t="shared" si="2"/>
        <v>NO</v>
      </c>
    </row>
    <row r="25" spans="2:8" x14ac:dyDescent="0.25">
      <c r="B25" s="11">
        <f t="shared" si="5"/>
        <v>11</v>
      </c>
      <c r="C25" s="14">
        <f t="shared" si="0"/>
        <v>1.25</v>
      </c>
      <c r="D25" s="19">
        <f t="shared" si="1"/>
        <v>2.2243189982728842</v>
      </c>
      <c r="E25" s="16">
        <f>AVERAGE($C$14:C25)</f>
        <v>1.2091666666666667</v>
      </c>
      <c r="F25" s="22">
        <f t="shared" si="4"/>
        <v>135.76206513123569</v>
      </c>
      <c r="G25" s="22">
        <f t="shared" si="3"/>
        <v>12.726732607209243</v>
      </c>
      <c r="H25" s="22" t="str">
        <f t="shared" si="2"/>
        <v>NO</v>
      </c>
    </row>
    <row r="26" spans="2:8" x14ac:dyDescent="0.25">
      <c r="B26" s="12">
        <f t="shared" si="5"/>
        <v>12</v>
      </c>
      <c r="C26" s="13">
        <f t="shared" si="0"/>
        <v>1.25</v>
      </c>
      <c r="D26" s="20">
        <f t="shared" si="1"/>
        <v>2.3356207253886008</v>
      </c>
      <c r="E26" s="17">
        <f>AVERAGE($C$14:C26)</f>
        <v>1.2123076923076925</v>
      </c>
      <c r="F26" s="23">
        <f t="shared" si="4"/>
        <v>148.48879773844493</v>
      </c>
      <c r="G26" s="21">
        <f t="shared" si="3"/>
        <v>12.826092293170774</v>
      </c>
      <c r="H26" s="23" t="str">
        <f t="shared" si="2"/>
        <v>NO</v>
      </c>
    </row>
    <row r="27" spans="2:8" x14ac:dyDescent="0.25">
      <c r="B27" s="11">
        <f t="shared" si="5"/>
        <v>13</v>
      </c>
      <c r="C27" s="14">
        <f t="shared" si="0"/>
        <v>1.26</v>
      </c>
      <c r="D27" s="19">
        <f t="shared" si="1"/>
        <v>2.4469224525043178</v>
      </c>
      <c r="E27" s="16">
        <f>AVERAGE($C$14:C27)</f>
        <v>1.215714285714286</v>
      </c>
      <c r="F27" s="22">
        <f t="shared" si="4"/>
        <v>161.3148900316157</v>
      </c>
      <c r="G27" s="22">
        <f t="shared" si="3"/>
        <v>12.830728455375521</v>
      </c>
      <c r="H27" s="22" t="str">
        <f t="shared" si="2"/>
        <v>NO</v>
      </c>
    </row>
    <row r="28" spans="2:8" x14ac:dyDescent="0.25">
      <c r="B28" s="12">
        <f t="shared" si="5"/>
        <v>14</v>
      </c>
      <c r="C28" s="13">
        <f t="shared" si="0"/>
        <v>1.26</v>
      </c>
      <c r="D28" s="20">
        <f t="shared" si="1"/>
        <v>2.5582241796200345</v>
      </c>
      <c r="E28" s="17">
        <f>AVERAGE($C$14:C28)</f>
        <v>1.218666666666667</v>
      </c>
      <c r="F28" s="23">
        <f t="shared" si="4"/>
        <v>174.14561848699122</v>
      </c>
      <c r="G28" s="21">
        <f t="shared" si="3"/>
        <v>12.834495337166999</v>
      </c>
      <c r="H28" s="23" t="str">
        <f t="shared" si="2"/>
        <v>NO</v>
      </c>
    </row>
    <row r="29" spans="2:8" x14ac:dyDescent="0.25">
      <c r="B29" s="11">
        <f t="shared" si="5"/>
        <v>15</v>
      </c>
      <c r="C29" s="14">
        <f t="shared" si="0"/>
        <v>1.26</v>
      </c>
      <c r="D29" s="19">
        <f t="shared" si="1"/>
        <v>2.6695259067357515</v>
      </c>
      <c r="E29" s="16">
        <f>AVERAGE($C$14:C29)</f>
        <v>1.2212500000000004</v>
      </c>
      <c r="F29" s="22">
        <f t="shared" si="4"/>
        <v>186.98011382415822</v>
      </c>
      <c r="G29" s="22">
        <f t="shared" si="3"/>
        <v>12.837597475112773</v>
      </c>
      <c r="H29" s="22" t="str">
        <f t="shared" si="2"/>
        <v>NO</v>
      </c>
    </row>
    <row r="30" spans="2:8" x14ac:dyDescent="0.25">
      <c r="B30" s="12">
        <f t="shared" si="5"/>
        <v>16</v>
      </c>
      <c r="C30" s="13">
        <f t="shared" si="0"/>
        <v>1.26</v>
      </c>
      <c r="D30" s="20">
        <f t="shared" si="1"/>
        <v>2.7808276338514681</v>
      </c>
      <c r="E30" s="17">
        <f>AVERAGE($C$14:C30)</f>
        <v>1.2235294117647064</v>
      </c>
      <c r="F30" s="23">
        <f t="shared" si="4"/>
        <v>199.817711299271</v>
      </c>
      <c r="G30" s="21">
        <f t="shared" si="3"/>
        <v>12.936582360643058</v>
      </c>
      <c r="H30" s="23" t="str">
        <f t="shared" si="2"/>
        <v>NO</v>
      </c>
    </row>
    <row r="31" spans="2:8" x14ac:dyDescent="0.25">
      <c r="B31" s="11">
        <f t="shared" si="5"/>
        <v>17</v>
      </c>
      <c r="C31" s="14">
        <f t="shared" si="0"/>
        <v>1.27</v>
      </c>
      <c r="D31" s="19">
        <f t="shared" si="1"/>
        <v>2.8921293609671843</v>
      </c>
      <c r="E31" s="16">
        <f>AVERAGE($C$14:C31)</f>
        <v>1.2261111111111116</v>
      </c>
      <c r="F31" s="22">
        <f t="shared" si="4"/>
        <v>212.75429365991405</v>
      </c>
      <c r="G31" s="22">
        <f t="shared" si="3"/>
        <v>12.939356202156631</v>
      </c>
      <c r="H31" s="22" t="str">
        <f t="shared" si="2"/>
        <v>NO</v>
      </c>
    </row>
    <row r="32" spans="2:8" x14ac:dyDescent="0.25">
      <c r="B32" s="12">
        <f t="shared" si="5"/>
        <v>18</v>
      </c>
      <c r="C32" s="13">
        <f t="shared" si="0"/>
        <v>1.27</v>
      </c>
      <c r="D32" s="20">
        <f t="shared" si="1"/>
        <v>3.0034310880829014</v>
      </c>
      <c r="E32" s="17">
        <f>AVERAGE($C$14:C32)</f>
        <v>1.2284210526315793</v>
      </c>
      <c r="F32" s="23">
        <f t="shared" si="4"/>
        <v>225.69364986207069</v>
      </c>
      <c r="G32" s="21">
        <f t="shared" si="3"/>
        <v>12.941713967443121</v>
      </c>
      <c r="H32" s="23" t="str">
        <f t="shared" si="2"/>
        <v>NO</v>
      </c>
    </row>
    <row r="33" spans="2:8" x14ac:dyDescent="0.25">
      <c r="B33" s="11">
        <f t="shared" si="5"/>
        <v>19</v>
      </c>
      <c r="C33" s="14">
        <f t="shared" si="0"/>
        <v>1.27</v>
      </c>
      <c r="D33" s="19">
        <f t="shared" si="1"/>
        <v>3.1147328151986184</v>
      </c>
      <c r="E33" s="16">
        <f>AVERAGE($C$14:C33)</f>
        <v>1.2305000000000004</v>
      </c>
      <c r="F33" s="22">
        <f t="shared" si="4"/>
        <v>238.63536382951381</v>
      </c>
      <c r="G33" s="22">
        <f t="shared" si="3"/>
        <v>12.943734909117296</v>
      </c>
      <c r="H33" s="22" t="str">
        <f t="shared" si="2"/>
        <v>NO</v>
      </c>
    </row>
    <row r="34" spans="2:8" x14ac:dyDescent="0.25">
      <c r="B34" s="12">
        <f t="shared" si="5"/>
        <v>20</v>
      </c>
      <c r="C34" s="13">
        <f t="shared" si="0"/>
        <v>1.27</v>
      </c>
      <c r="D34" s="20">
        <f t="shared" si="1"/>
        <v>3.2260345423143346</v>
      </c>
      <c r="E34" s="17">
        <f>AVERAGE($C$14:C34)</f>
        <v>1.2323809523809526</v>
      </c>
      <c r="F34" s="23">
        <f t="shared" si="4"/>
        <v>251.5790987386311</v>
      </c>
      <c r="G34" s="21">
        <f t="shared" si="3"/>
        <v>13.042911052000363</v>
      </c>
      <c r="H34" s="23" t="str">
        <f t="shared" si="2"/>
        <v>NO</v>
      </c>
    </row>
    <row r="35" spans="2:8" x14ac:dyDescent="0.25">
      <c r="B35" s="11">
        <f t="shared" si="5"/>
        <v>21</v>
      </c>
      <c r="C35" s="14">
        <f t="shared" si="0"/>
        <v>1.28</v>
      </c>
      <c r="D35" s="19">
        <f t="shared" si="1"/>
        <v>3.3373362694300517</v>
      </c>
      <c r="E35" s="16">
        <f>AVERAGE($C$14:C35)</f>
        <v>1.2345454545454548</v>
      </c>
      <c r="F35" s="22">
        <f t="shared" si="4"/>
        <v>264.62200979063147</v>
      </c>
      <c r="G35" s="22">
        <f t="shared" si="3"/>
        <v>13.044832195333925</v>
      </c>
      <c r="H35" s="22" t="str">
        <f t="shared" si="2"/>
        <v>NO</v>
      </c>
    </row>
    <row r="36" spans="2:8" x14ac:dyDescent="0.25">
      <c r="B36" s="12">
        <f t="shared" si="5"/>
        <v>22</v>
      </c>
      <c r="C36" s="13">
        <f t="shared" si="0"/>
        <v>1.28</v>
      </c>
      <c r="D36" s="20">
        <f t="shared" si="1"/>
        <v>3.4486379965457687</v>
      </c>
      <c r="E36" s="17">
        <f>AVERAGE($C$14:C36)</f>
        <v>1.2365217391304351</v>
      </c>
      <c r="F36" s="23">
        <f t="shared" si="4"/>
        <v>277.66684198596539</v>
      </c>
      <c r="G36" s="21">
        <f t="shared" si="3"/>
        <v>13.046513195750947</v>
      </c>
      <c r="H36" s="23" t="str">
        <f t="shared" si="2"/>
        <v>NO</v>
      </c>
    </row>
    <row r="37" spans="2:8" x14ac:dyDescent="0.25">
      <c r="B37" s="11">
        <f t="shared" si="5"/>
        <v>23</v>
      </c>
      <c r="C37" s="14">
        <f t="shared" si="0"/>
        <v>1.28</v>
      </c>
      <c r="D37" s="19">
        <f t="shared" si="1"/>
        <v>3.5599397236614849</v>
      </c>
      <c r="E37" s="16">
        <f>AVERAGE($C$14:C37)</f>
        <v>1.2383333333333337</v>
      </c>
      <c r="F37" s="22">
        <f t="shared" si="4"/>
        <v>290.71335518171634</v>
      </c>
      <c r="G37" s="22">
        <f t="shared" si="3"/>
        <v>13.04799247611777</v>
      </c>
      <c r="H37" s="22" t="str">
        <f t="shared" si="2"/>
        <v>NO</v>
      </c>
    </row>
    <row r="38" spans="2:8" x14ac:dyDescent="0.25">
      <c r="B38" s="12">
        <f t="shared" si="5"/>
        <v>24</v>
      </c>
      <c r="C38" s="13">
        <f t="shared" si="0"/>
        <v>1.28</v>
      </c>
      <c r="D38" s="20">
        <f t="shared" si="1"/>
        <v>3.671241450777202</v>
      </c>
      <c r="E38" s="17">
        <f>AVERAGE($C$14:C38)</f>
        <v>1.2400000000000004</v>
      </c>
      <c r="F38" s="23">
        <f t="shared" si="4"/>
        <v>303.76134765783411</v>
      </c>
      <c r="G38" s="21">
        <f t="shared" si="3"/>
        <v>13.049301070288379</v>
      </c>
      <c r="H38" s="23" t="str">
        <f t="shared" si="2"/>
        <v>NO</v>
      </c>
    </row>
    <row r="39" spans="2:8" x14ac:dyDescent="0.25">
      <c r="B39" s="11">
        <f t="shared" si="5"/>
        <v>25</v>
      </c>
      <c r="C39" s="14">
        <f t="shared" si="0"/>
        <v>1.28</v>
      </c>
      <c r="D39" s="19">
        <f t="shared" si="1"/>
        <v>3.7825431778929182</v>
      </c>
      <c r="E39" s="16">
        <f>AVERAGE($C$14:C39)</f>
        <v>1.2415384615384619</v>
      </c>
      <c r="F39" s="22">
        <f t="shared" si="4"/>
        <v>316.81064872812249</v>
      </c>
      <c r="G39" s="22">
        <f t="shared" si="3"/>
        <v>13.148754227262259</v>
      </c>
      <c r="H39" s="22" t="str">
        <f t="shared" si="2"/>
        <v>NO</v>
      </c>
    </row>
    <row r="40" spans="2:8" x14ac:dyDescent="0.25">
      <c r="B40" s="12">
        <f t="shared" si="5"/>
        <v>26</v>
      </c>
      <c r="C40" s="13">
        <f t="shared" si="0"/>
        <v>1.29</v>
      </c>
      <c r="D40" s="20">
        <f t="shared" si="1"/>
        <v>3.8938449050086352</v>
      </c>
      <c r="E40" s="17">
        <f>AVERAGE($C$14:C40)</f>
        <v>1.2433333333333336</v>
      </c>
      <c r="F40" s="23">
        <f t="shared" si="4"/>
        <v>329.95940295538475</v>
      </c>
      <c r="G40" s="21">
        <f t="shared" si="3"/>
        <v>13.150062821432869</v>
      </c>
      <c r="H40" s="23" t="str">
        <f t="shared" si="2"/>
        <v>YES</v>
      </c>
    </row>
    <row r="41" spans="2:8" x14ac:dyDescent="0.25">
      <c r="B41" s="11">
        <f t="shared" si="5"/>
        <v>27</v>
      </c>
      <c r="C41" s="14">
        <f t="shared" si="0"/>
        <v>1.29</v>
      </c>
      <c r="D41" s="19">
        <f t="shared" si="1"/>
        <v>4.0051466321243518</v>
      </c>
      <c r="E41" s="16">
        <f>AVERAGE($C$14:C41)</f>
        <v>1.2450000000000003</v>
      </c>
      <c r="F41" s="22">
        <f t="shared" si="4"/>
        <v>343.10946577681761</v>
      </c>
      <c r="G41" s="22">
        <f t="shared" si="3"/>
        <v>13.151236043792778</v>
      </c>
      <c r="H41" s="22" t="str">
        <f t="shared" si="2"/>
        <v>YES</v>
      </c>
    </row>
    <row r="42" spans="2:8" x14ac:dyDescent="0.25">
      <c r="B42" s="12">
        <f t="shared" si="5"/>
        <v>28</v>
      </c>
      <c r="C42" s="13">
        <f t="shared" si="0"/>
        <v>1.29</v>
      </c>
      <c r="D42" s="20">
        <f t="shared" si="1"/>
        <v>4.1164483592400689</v>
      </c>
      <c r="E42" s="17">
        <f>AVERAGE($C$14:C42)</f>
        <v>1.2465517241379311</v>
      </c>
      <c r="F42" s="23">
        <f t="shared" si="4"/>
        <v>356.26070182061039</v>
      </c>
      <c r="G42" s="21">
        <f t="shared" si="3"/>
        <v>13.152291943916737</v>
      </c>
      <c r="H42" s="23" t="str">
        <f t="shared" si="2"/>
        <v>YES</v>
      </c>
    </row>
    <row r="43" spans="2:8" x14ac:dyDescent="0.25">
      <c r="B43" s="11">
        <f t="shared" si="5"/>
        <v>29</v>
      </c>
      <c r="C43" s="14">
        <f t="shared" si="0"/>
        <v>1.29</v>
      </c>
      <c r="D43" s="19">
        <f t="shared" si="1"/>
        <v>4.227750086355786</v>
      </c>
      <c r="E43" s="16">
        <f>AVERAGE($C$14:C43)</f>
        <v>1.2480000000000002</v>
      </c>
      <c r="F43" s="22">
        <f t="shared" si="4"/>
        <v>369.41299376452713</v>
      </c>
      <c r="G43" s="22">
        <f t="shared" si="3"/>
        <v>13.153245660157836</v>
      </c>
      <c r="H43" s="22" t="str">
        <f t="shared" si="2"/>
        <v>YES</v>
      </c>
    </row>
    <row r="44" spans="2:8" x14ac:dyDescent="0.25">
      <c r="B44" s="12">
        <f t="shared" si="5"/>
        <v>30</v>
      </c>
      <c r="C44" s="13">
        <f t="shared" si="0"/>
        <v>1.29</v>
      </c>
      <c r="D44" s="20">
        <f t="shared" si="1"/>
        <v>4.3390518134715022</v>
      </c>
      <c r="E44" s="17">
        <f>AVERAGE($C$14:C44)</f>
        <v>1.2493548387096776</v>
      </c>
      <c r="F44" s="23">
        <f t="shared" si="4"/>
        <v>382.56623942468497</v>
      </c>
      <c r="G44" s="21">
        <f t="shared" si="3"/>
        <v>13.154109965501107</v>
      </c>
      <c r="H44" s="23" t="str">
        <f t="shared" si="2"/>
        <v>YES</v>
      </c>
    </row>
    <row r="45" spans="2:8" x14ac:dyDescent="0.25">
      <c r="B45" s="11">
        <f t="shared" si="5"/>
        <v>31</v>
      </c>
      <c r="C45" s="14">
        <f t="shared" si="0"/>
        <v>1.29</v>
      </c>
      <c r="D45" s="19">
        <f t="shared" si="1"/>
        <v>4.4503535405872192</v>
      </c>
      <c r="E45" s="16">
        <f>AVERAGE($C$14:C45)</f>
        <v>1.2506250000000001</v>
      </c>
      <c r="F45" s="22">
        <f t="shared" si="4"/>
        <v>395.72034939018607</v>
      </c>
      <c r="G45" s="22">
        <f t="shared" si="3"/>
        <v>13.154895697631503</v>
      </c>
      <c r="H45" s="22" t="str">
        <f t="shared" si="2"/>
        <v>YES</v>
      </c>
    </row>
    <row r="46" spans="2:8" x14ac:dyDescent="0.25">
      <c r="B46" s="12">
        <f t="shared" si="5"/>
        <v>32</v>
      </c>
      <c r="C46" s="13">
        <f t="shared" si="0"/>
        <v>1.29</v>
      </c>
      <c r="D46" s="20">
        <f t="shared" si="1"/>
        <v>4.5616552677029363</v>
      </c>
      <c r="E46" s="17">
        <f>AVERAGE($C$14:C46)</f>
        <v>1.2518181818181819</v>
      </c>
      <c r="F46" s="23">
        <f t="shared" si="4"/>
        <v>408.87524508781758</v>
      </c>
      <c r="G46" s="21">
        <f t="shared" si="3"/>
        <v>13.155612100456267</v>
      </c>
      <c r="H46" s="23" t="str">
        <f t="shared" si="2"/>
        <v>YES</v>
      </c>
    </row>
    <row r="47" spans="2:8" x14ac:dyDescent="0.25">
      <c r="B47" s="11">
        <f t="shared" si="5"/>
        <v>33</v>
      </c>
      <c r="C47" s="14">
        <f t="shared" si="0"/>
        <v>1.29</v>
      </c>
      <c r="D47" s="19">
        <f t="shared" si="1"/>
        <v>4.6729569948186525</v>
      </c>
      <c r="E47" s="16">
        <f>AVERAGE($C$14:C47)</f>
        <v>1.2529411764705882</v>
      </c>
      <c r="F47" s="22">
        <f t="shared" si="4"/>
        <v>422.03085718827384</v>
      </c>
      <c r="G47" s="22">
        <f t="shared" si="3"/>
        <v>13.255421147059224</v>
      </c>
      <c r="H47" s="22" t="str">
        <f t="shared" si="2"/>
        <v>YES</v>
      </c>
    </row>
    <row r="48" spans="2:8" x14ac:dyDescent="0.25">
      <c r="B48" s="12">
        <f t="shared" si="5"/>
        <v>34</v>
      </c>
      <c r="C48" s="13">
        <f t="shared" si="0"/>
        <v>1.3</v>
      </c>
      <c r="D48" s="20">
        <f t="shared" si="1"/>
        <v>4.7842587219343695</v>
      </c>
      <c r="E48" s="17">
        <f>AVERAGE($C$14:C48)</f>
        <v>1.2542857142857142</v>
      </c>
      <c r="F48" s="23">
        <f t="shared" si="4"/>
        <v>435.28627833533307</v>
      </c>
      <c r="G48" s="21">
        <f t="shared" si="3"/>
        <v>13.256183577276488</v>
      </c>
      <c r="H48" s="23" t="str">
        <f t="shared" si="2"/>
        <v>YES</v>
      </c>
    </row>
    <row r="49" spans="2:8" x14ac:dyDescent="0.25">
      <c r="B49" s="11">
        <f t="shared" si="5"/>
        <v>35</v>
      </c>
      <c r="C49" s="14">
        <f t="shared" si="0"/>
        <v>1.3</v>
      </c>
      <c r="D49" s="19">
        <f t="shared" si="1"/>
        <v>4.8955604490500866</v>
      </c>
      <c r="E49" s="16">
        <f>AVERAGE($C$14:C49)</f>
        <v>1.2555555555555555</v>
      </c>
      <c r="F49" s="22">
        <f t="shared" si="4"/>
        <v>448.54246191260955</v>
      </c>
      <c r="G49" s="22">
        <f t="shared" si="3"/>
        <v>13.256884188827144</v>
      </c>
      <c r="H49" s="22" t="str">
        <f t="shared" si="2"/>
        <v>YES</v>
      </c>
    </row>
    <row r="50" spans="2:8" x14ac:dyDescent="0.25">
      <c r="B50" s="12">
        <f t="shared" si="5"/>
        <v>36</v>
      </c>
      <c r="C50" s="13">
        <f t="shared" si="0"/>
        <v>1.3</v>
      </c>
      <c r="D50" s="20">
        <f t="shared" si="1"/>
        <v>5.0068621761658028</v>
      </c>
      <c r="E50" s="17">
        <f>AVERAGE($C$14:C50)</f>
        <v>1.2567567567567566</v>
      </c>
      <c r="F50" s="23">
        <f t="shared" si="4"/>
        <v>461.7993461014367</v>
      </c>
      <c r="G50" s="21">
        <f t="shared" si="3"/>
        <v>13.257529488939838</v>
      </c>
      <c r="H50" s="23" t="str">
        <f t="shared" si="2"/>
        <v>YES</v>
      </c>
    </row>
    <row r="51" spans="2:8" x14ac:dyDescent="0.25">
      <c r="B51" s="11">
        <f t="shared" si="5"/>
        <v>37</v>
      </c>
      <c r="C51" s="14">
        <f t="shared" si="0"/>
        <v>1.3</v>
      </c>
      <c r="D51" s="19">
        <f t="shared" si="1"/>
        <v>5.1181639032815198</v>
      </c>
      <c r="E51" s="16">
        <f>AVERAGE($C$14:C51)</f>
        <v>1.257894736842105</v>
      </c>
      <c r="F51" s="22">
        <f t="shared" si="4"/>
        <v>475.05687559037654</v>
      </c>
      <c r="G51" s="22">
        <f t="shared" si="3"/>
        <v>13.258125150582316</v>
      </c>
      <c r="H51" s="22" t="str">
        <f t="shared" si="2"/>
        <v>YES</v>
      </c>
    </row>
    <row r="52" spans="2:8" x14ac:dyDescent="0.25">
      <c r="B52" s="12">
        <f t="shared" si="5"/>
        <v>38</v>
      </c>
      <c r="C52" s="13">
        <f t="shared" si="0"/>
        <v>1.3</v>
      </c>
      <c r="D52" s="20">
        <f t="shared" si="1"/>
        <v>5.2294656303972369</v>
      </c>
      <c r="E52" s="17">
        <f>AVERAGE($C$14:C52)</f>
        <v>1.2589743589743587</v>
      </c>
      <c r="F52" s="23">
        <f t="shared" si="4"/>
        <v>488.31500074095885</v>
      </c>
      <c r="G52" s="21">
        <f t="shared" si="3"/>
        <v>13.258676137601526</v>
      </c>
      <c r="H52" s="23" t="str">
        <f t="shared" si="2"/>
        <v>YES</v>
      </c>
    </row>
    <row r="53" spans="2:8" x14ac:dyDescent="0.25">
      <c r="B53" s="11">
        <f t="shared" si="5"/>
        <v>39</v>
      </c>
      <c r="C53" s="14">
        <f t="shared" si="0"/>
        <v>1.3</v>
      </c>
      <c r="D53" s="19">
        <f t="shared" si="1"/>
        <v>5.3407673575129531</v>
      </c>
      <c r="E53" s="16">
        <f>AVERAGE($C$14:C53)</f>
        <v>1.2599999999999996</v>
      </c>
      <c r="F53" s="22">
        <f t="shared" si="4"/>
        <v>501.57367687856038</v>
      </c>
      <c r="G53" s="22">
        <f t="shared" si="3"/>
        <v>13.259186808497475</v>
      </c>
      <c r="H53" s="22" t="str">
        <f t="shared" si="2"/>
        <v>YES</v>
      </c>
    </row>
    <row r="54" spans="2:8" x14ac:dyDescent="0.25">
      <c r="B54" s="12">
        <f t="shared" si="5"/>
        <v>40</v>
      </c>
      <c r="C54" s="13">
        <f t="shared" si="0"/>
        <v>1.3</v>
      </c>
      <c r="D54" s="20">
        <f t="shared" si="1"/>
        <v>5.4520690846286692</v>
      </c>
      <c r="E54" s="17">
        <f>AVERAGE($C$14:C54)</f>
        <v>1.2609756097560971</v>
      </c>
      <c r="F54" s="23">
        <f t="shared" si="4"/>
        <v>514.83286368705785</v>
      </c>
      <c r="G54" s="21"/>
      <c r="H54" s="23" t="str">
        <f t="shared" si="2"/>
        <v>YES</v>
      </c>
    </row>
  </sheetData>
  <mergeCells count="11">
    <mergeCell ref="C7:H7"/>
    <mergeCell ref="A1:H1"/>
    <mergeCell ref="C3:H3"/>
    <mergeCell ref="C4:H4"/>
    <mergeCell ref="C5:H5"/>
    <mergeCell ref="C6:H6"/>
    <mergeCell ref="C8:H8"/>
    <mergeCell ref="C9:H9"/>
    <mergeCell ref="C10:H10"/>
    <mergeCell ref="C11:H11"/>
    <mergeCell ref="A12:H12"/>
  </mergeCells>
  <conditionalFormatting sqref="B14:H54">
    <cfRule type="expression" dxfId="0" priority="1">
      <formula>($H14="YES")</formula>
    </cfRule>
  </conditionalFormatting>
  <dataValidations count="1">
    <dataValidation type="list" allowBlank="1" showInputMessage="1" showErrorMessage="1" sqref="B8" xr:uid="{00000000-0002-0000-0000-000000000000}">
      <formula1>"76,89,102,114,127,140,165,200,229,251,270,311"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5B25F57584F4D8F3250B75EE28897" ma:contentTypeVersion="5" ma:contentTypeDescription="Create a new document." ma:contentTypeScope="" ma:versionID="eb7facbb21f443d83de7b3124c6fee23">
  <xsd:schema xmlns:xsd="http://www.w3.org/2001/XMLSchema" xmlns:xs="http://www.w3.org/2001/XMLSchema" xmlns:p="http://schemas.microsoft.com/office/2006/metadata/properties" xmlns:ns3="a2401cf5-c659-4586-8ad0-93b52533a67e" xmlns:ns4="36d2753e-2ec3-46d2-9323-8e0c8e8cee5f" targetNamespace="http://schemas.microsoft.com/office/2006/metadata/properties" ma:root="true" ma:fieldsID="a056e0e981f3949ade5c5672573197cf" ns3:_="" ns4:_="">
    <xsd:import namespace="a2401cf5-c659-4586-8ad0-93b52533a67e"/>
    <xsd:import namespace="36d2753e-2ec3-46d2-9323-8e0c8e8cee5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01cf5-c659-4586-8ad0-93b52533a6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753e-2ec3-46d2-9323-8e0c8e8ce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18C4A-1EAF-4E5A-856D-A101E08A1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165B69-BC24-4D7C-91AB-093CEF36D7D1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36d2753e-2ec3-46d2-9323-8e0c8e8cee5f"/>
    <ds:schemaRef ds:uri="a2401cf5-c659-4586-8ad0-93b52533a67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484A39-59DB-475B-A9CB-5BFB3DBB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01cf5-c659-4586-8ad0-93b52533a67e"/>
    <ds:schemaRef ds:uri="36d2753e-2ec3-46d2-9323-8e0c8e8cee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Product Density</vt:lpstr>
      <vt:lpstr>ATM</vt:lpstr>
      <vt:lpstr>ATM_PAS</vt:lpstr>
      <vt:lpstr>ATMS_PA</vt:lpstr>
      <vt:lpstr>C_DENS</vt:lpstr>
      <vt:lpstr>CRIT_DENS</vt:lpstr>
      <vt:lpstr>DIAM</vt:lpstr>
      <vt:lpstr>INT_SPACE</vt:lpstr>
      <vt:lpstr>L_DESN</vt:lpstr>
      <vt:lpstr>MAN_ADJ</vt:lpstr>
      <vt:lpstr>PAS_ATM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Compression of Gasses in Volume</dc:title>
  <dc:creator>Buffham, Brent;brent.buffham@gmail.com</dc:creator>
  <cp:keywords>Density, Product, blasting, explosives</cp:keywords>
  <cp:lastModifiedBy>Brent Buffham</cp:lastModifiedBy>
  <dcterms:created xsi:type="dcterms:W3CDTF">2017-01-01T22:29:00Z</dcterms:created>
  <dcterms:modified xsi:type="dcterms:W3CDTF">2025-03-20T03:27:31Z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0x0101003985B25F57584F4D8F3250B75EE28897</vt:lpwstr>
  </property>
</Properties>
</file>